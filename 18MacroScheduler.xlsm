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chartsheets/sheet1.xml" ContentType="application/vnd.openxmlformats-officedocument.spreadsheetml.chartsheet+xml"/>
  <Override PartName="/xl/worksheets/sheet3.xml" ContentType="application/vnd.openxmlformats-officedocument.spreadsheetml.worksheet+xml"/>
  <Override PartName="/xl/chartsheets/sheet2.xml" ContentType="application/vnd.openxmlformats-officedocument.spreadsheetml.chart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72" codeName="{3D1A710C-6663-3D7B-7F91-EC182F24A4BC}"/>
  <workbookPr codeName="ThisWorkbook"/>
  <mc:AlternateContent xmlns:mc="http://schemas.openxmlformats.org/markup-compatibility/2006">
    <mc:Choice Requires="x15">
      <x15ac:absPath xmlns:x15ac="http://schemas.microsoft.com/office/spreadsheetml/2010/11/ac" url="C:\Users\clance\Documents\Work Force\VBA for Modelers\Solutions Manual\Problem Solutions\Problem Solutions\Chapter 22\"/>
    </mc:Choice>
  </mc:AlternateContent>
  <xr:revisionPtr revIDLastSave="0" documentId="13_ncr:1_{D3AC6544-3A44-4086-B33E-162C70CDC542}" xr6:coauthVersionLast="36" xr6:coauthVersionMax="36" xr10:uidLastSave="{00000000-0000-0000-0000-000000000000}"/>
  <bookViews>
    <workbookView xWindow="360" yWindow="120" windowWidth="11340" windowHeight="5520" activeTab="3" xr2:uid="{00000000-000D-0000-FFFF-FFFF00000000}"/>
  </bookViews>
  <sheets>
    <sheet name="Explanation" sheetId="2" r:id="rId1"/>
    <sheet name="Model" sheetId="1" state="hidden" r:id="rId2"/>
    <sheet name="Chart3" sheetId="6" state="hidden" r:id="rId3"/>
    <sheet name="Report" sheetId="3" r:id="rId4"/>
    <sheet name="Chart2" sheetId="5" state="hidden" r:id="rId5"/>
    <sheet name="Chart" sheetId="4" state="hidden" r:id="rId6"/>
  </sheets>
  <definedNames>
    <definedName name="Assignments">Model!$C$8:$C$28</definedName>
    <definedName name="Available">Model!$B$32:$H$32</definedName>
    <definedName name="AvailFri">Model!$C$8:$C$10,Model!$C$12:$C$15,Model!$C$17:$C$19,Model!$C$21:$C$22,Model!$C$24:$C$25,Model!$C$28</definedName>
    <definedName name="AvailMon">Model!$C$14:$C$28</definedName>
    <definedName name="AvailSat">Model!$C$8:$C$11,Model!$C$13:$C$16,Model!$C$18:$C$20,Model!$C$22:$C$23,Model!$C$25,Model!$C$27</definedName>
    <definedName name="AvailSun">Model!$C$8:$C$12,Model!$C$14:$C$17,Model!$C$19:$C$21,Model!$C$23:$C$24,Model!$C$26</definedName>
    <definedName name="AvailThu">Model!$C$8:$C$9,Model!$C$11:$C$14,Model!$C$16:$C$18,Model!$C$20:$C$22,Model!$C$26:$C$28</definedName>
    <definedName name="AvailTue">Model!$C$9:$C$13,Model!$C$19:$C$28</definedName>
    <definedName name="AvailWed">Model!$C$8,Model!$C$10:$C$13,Model!$C$15:$C$18,Model!$C$23:$C$28</definedName>
    <definedName name="Consecutive">Model!$B$8:$B$28</definedName>
    <definedName name="MaxNonconsec">Model!$B$39</definedName>
    <definedName name="MaxPct">Model!$B$4</definedName>
    <definedName name="Nonconsec">Model!$B$37</definedName>
    <definedName name="Required">Model!$B$34:$H$34</definedName>
    <definedName name="solver_adj" localSheetId="1" hidden="1">Model!$C$8:$C$28</definedName>
    <definedName name="solver_cvg" localSheetId="1" hidden="1">0.0001</definedName>
    <definedName name="solver_drv" localSheetId="1" hidden="1">1</definedName>
    <definedName name="solver_eng" localSheetId="1" hidden="1">2</definedName>
    <definedName name="solver_est" localSheetId="1" hidden="1">1</definedName>
    <definedName name="solver_ibd" localSheetId="1" hidden="1">2</definedName>
    <definedName name="solver_itr" localSheetId="1" hidden="1">1000</definedName>
    <definedName name="solver_lhs1" localSheetId="1" hidden="1">Model!$C$8:$C$28</definedName>
    <definedName name="solver_lhs2" localSheetId="1" hidden="1">Model!$B$32:$H$32</definedName>
    <definedName name="solver_lhs3" localSheetId="1" hidden="1">Model!$B$37</definedName>
    <definedName name="solver_lin" localSheetId="1" hidden="1">1</definedName>
    <definedName name="solver_lva" localSheetId="1" hidden="1">2</definedName>
    <definedName name="solver_mip" localSheetId="1" hidden="1">5000</definedName>
    <definedName name="solver_mni" localSheetId="1" hidden="1">30</definedName>
    <definedName name="solver_mrt" localSheetId="1" hidden="1">0.075</definedName>
    <definedName name="solver_neg" localSheetId="1" hidden="1">1</definedName>
    <definedName name="solver_nod" localSheetId="1" hidden="1">5000</definedName>
    <definedName name="solver_num" localSheetId="1" hidden="1">3</definedName>
    <definedName name="solver_nwt" localSheetId="1" hidden="1">1</definedName>
    <definedName name="solver_ofx" localSheetId="1" hidden="1">2</definedName>
    <definedName name="solver_opt" localSheetId="1" hidden="1">Model!$B$44</definedName>
    <definedName name="solver_piv" localSheetId="1" hidden="1">0.000001</definedName>
    <definedName name="solver_pre" localSheetId="1" hidden="1">0.000001</definedName>
    <definedName name="solver_pro" localSheetId="1" hidden="1">2</definedName>
    <definedName name="solver_rbv" localSheetId="1" hidden="1">1</definedName>
    <definedName name="solver_red" localSheetId="1" hidden="1">0.000001</definedName>
    <definedName name="solver_rel1" localSheetId="1" hidden="1">4</definedName>
    <definedName name="solver_rel2" localSheetId="1" hidden="1">3</definedName>
    <definedName name="solver_rel3" localSheetId="1" hidden="1">1</definedName>
    <definedName name="solver_reo" localSheetId="1" hidden="1">2</definedName>
    <definedName name="solver_rep" localSheetId="1" hidden="1">2</definedName>
    <definedName name="solver_rhs1" localSheetId="1" hidden="1">integer</definedName>
    <definedName name="solver_rhs2" localSheetId="1" hidden="1">Required</definedName>
    <definedName name="solver_rhs3" localSheetId="1" hidden="1">MaxNonconsec</definedName>
    <definedName name="solver_rlx" localSheetId="1" hidden="1">2</definedName>
    <definedName name="solver_scl" localSheetId="1" hidden="1">2</definedName>
    <definedName name="solver_sho" localSheetId="1" hidden="1">2</definedName>
    <definedName name="solver_ssz" localSheetId="1" hidden="1">100</definedName>
    <definedName name="solver_std" localSheetId="1" hidden="1">1</definedName>
    <definedName name="solver_tim" localSheetId="1" hidden="1">100</definedName>
    <definedName name="solver_tol" localSheetId="1" hidden="1">0.01</definedName>
    <definedName name="solver_typ" localSheetId="1" hidden="1">2</definedName>
    <definedName name="solver_val" localSheetId="1" hidden="1">0</definedName>
    <definedName name="solver_ver" localSheetId="1" hidden="1">2</definedName>
    <definedName name="TotalCost">Model!$B$44</definedName>
    <definedName name="TotalWorkers">Model!$C$29</definedName>
    <definedName name="WeekdayRate">Model!$G$4</definedName>
    <definedName name="WeekendRate">Model!$G$5</definedName>
  </definedNames>
  <calcPr calcId="191029"/>
</workbook>
</file>

<file path=xl/calcChain.xml><?xml version="1.0" encoding="utf-8"?>
<calcChain xmlns="http://schemas.openxmlformats.org/spreadsheetml/2006/main">
  <c r="C32" i="1" l="1"/>
  <c r="C29" i="1"/>
  <c r="B39" i="1" s="1"/>
  <c r="B32" i="1"/>
  <c r="D32" i="1"/>
  <c r="E32" i="1"/>
  <c r="F32" i="1"/>
  <c r="G32" i="1"/>
  <c r="H32" i="1"/>
  <c r="I6" i="3" a="1"/>
  <c r="I6" i="3" s="1"/>
  <c r="I17" i="3" l="1"/>
  <c r="B43" i="1"/>
  <c r="D6" i="3" s="1"/>
  <c r="B37" i="1"/>
  <c r="H6" i="3" a="1"/>
  <c r="H6" i="3" s="1"/>
  <c r="I11" i="3"/>
  <c r="I9" i="3"/>
  <c r="I7" i="3"/>
  <c r="I12" i="3"/>
  <c r="I10" i="3"/>
  <c r="I8" i="3"/>
  <c r="B42" i="1"/>
  <c r="B44" i="1" l="1"/>
  <c r="D7" i="3" s="1"/>
  <c r="I15" i="3"/>
  <c r="I16" i="3"/>
  <c r="H10" i="3"/>
  <c r="H11" i="3"/>
  <c r="H7" i="3"/>
  <c r="H8" i="3"/>
  <c r="H12" i="3"/>
  <c r="H9" i="3"/>
  <c r="D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Albright</author>
  </authors>
  <commentList>
    <comment ref="B7" authorId="0" shapeId="0" xr:uid="{00000000-0006-0000-0100-000001000000}">
      <text>
        <r>
          <rPr>
            <b/>
            <sz val="8"/>
            <color indexed="81"/>
            <rFont val="Tahoma"/>
            <family val="2"/>
          </rPr>
          <t>1 if days off are consecutive; 0 otherwise</t>
        </r>
        <r>
          <rPr>
            <sz val="8"/>
            <color indexed="81"/>
            <rFont val="Tahoma"/>
            <family val="2"/>
          </rPr>
          <t xml:space="preserve">
</t>
        </r>
      </text>
    </comment>
    <comment ref="C7" authorId="0" shapeId="0" xr:uid="{00000000-0006-0000-0100-000002000000}">
      <text>
        <r>
          <rPr>
            <b/>
            <sz val="8"/>
            <color indexed="81"/>
            <rFont val="Tahoma"/>
            <family val="2"/>
          </rPr>
          <t>Number of workers with this days-off pair</t>
        </r>
        <r>
          <rPr>
            <sz val="8"/>
            <color indexed="81"/>
            <rFont val="Tahoma"/>
            <family val="2"/>
          </rPr>
          <t xml:space="preserve">
</t>
        </r>
      </text>
    </comment>
  </commentList>
</comments>
</file>

<file path=xl/sharedStrings.xml><?xml version="1.0" encoding="utf-8"?>
<sst xmlns="http://schemas.openxmlformats.org/spreadsheetml/2006/main" count="94" uniqueCount="65">
  <si>
    <t>Scheduling problem</t>
  </si>
  <si>
    <t>Mon, Tue</t>
  </si>
  <si>
    <t>Mon, Wed</t>
  </si>
  <si>
    <t>Days off</t>
  </si>
  <si>
    <t>Consecutive</t>
  </si>
  <si>
    <t>Mon, Thu</t>
  </si>
  <si>
    <t>Mon, Fri</t>
  </si>
  <si>
    <t>Mon, Sat</t>
  </si>
  <si>
    <t>Mon, Sun</t>
  </si>
  <si>
    <t>Tue, Wed</t>
  </si>
  <si>
    <t>Tue, Thu</t>
  </si>
  <si>
    <t>Tue, Fri</t>
  </si>
  <si>
    <t>Tue, Sat</t>
  </si>
  <si>
    <t>Tue, Sun</t>
  </si>
  <si>
    <t>Wed, Thu</t>
  </si>
  <si>
    <t>Wed, Fri</t>
  </si>
  <si>
    <t>Wed, Sat</t>
  </si>
  <si>
    <t>Wed</t>
  </si>
  <si>
    <t>Wed, Sun</t>
  </si>
  <si>
    <t>Thu, Fri</t>
  </si>
  <si>
    <t>Thu, Sat</t>
  </si>
  <si>
    <t>Thu, Sun</t>
  </si>
  <si>
    <t>Fri, Sat</t>
  </si>
  <si>
    <t>Fri, Sun</t>
  </si>
  <si>
    <t>Sat, Sun</t>
  </si>
  <si>
    <t>Daily constraints on workers</t>
  </si>
  <si>
    <t>Available</t>
  </si>
  <si>
    <t>Required</t>
  </si>
  <si>
    <t>Mon</t>
  </si>
  <si>
    <t>Tue</t>
  </si>
  <si>
    <t>Thu</t>
  </si>
  <si>
    <t>Fri</t>
  </si>
  <si>
    <t>Sat</t>
  </si>
  <si>
    <t>Sun</t>
  </si>
  <si>
    <t>&gt;=</t>
  </si>
  <si>
    <t>Maximum percent with nonconsecutive days off</t>
  </si>
  <si>
    <t>Consecutive days off constraint</t>
  </si>
  <si>
    <t>Number nonconsecutive</t>
  </si>
  <si>
    <t>Maximum</t>
  </si>
  <si>
    <t>Assignments</t>
  </si>
  <si>
    <t>Assignment of workers to days off pairs</t>
  </si>
  <si>
    <t>&lt;=</t>
  </si>
  <si>
    <t>Report of optimal solution</t>
  </si>
  <si>
    <t>Worker availabilities</t>
  </si>
  <si>
    <t>Day</t>
  </si>
  <si>
    <t>Number assigned</t>
  </si>
  <si>
    <t>Optimal assignments (positive assignments only)</t>
  </si>
  <si>
    <t xml:space="preserve">Number of workers: </t>
  </si>
  <si>
    <t>MaxPct</t>
  </si>
  <si>
    <t>Total</t>
  </si>
  <si>
    <t>Weekly costs</t>
  </si>
  <si>
    <t>Weekday</t>
  </si>
  <si>
    <t>Weekend</t>
  </si>
  <si>
    <t>With consecutive days off</t>
  </si>
  <si>
    <t>With nonconsecutive days off</t>
  </si>
  <si>
    <t>Payroll</t>
  </si>
  <si>
    <t>Hourly wage rates</t>
  </si>
  <si>
    <t>&lt;-- Total workers</t>
  </si>
  <si>
    <t>Sensitivity of solutions to ratio of wage rates</t>
  </si>
  <si>
    <t>Ratio</t>
  </si>
  <si>
    <t>Nonconsec</t>
  </si>
  <si>
    <t>TotalCost</t>
  </si>
  <si>
    <t>TotalEmps</t>
  </si>
  <si>
    <t>Sensitivity to maxpct nonconsec</t>
  </si>
  <si>
    <t>Sensitivity to maxpct (along side) and ratio of wage rates (along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</si>
</sst>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quot;$&quot;#,##0"/>
    <numFmt numFmtId="165" formatCode="&quot;$&quot;#,##0.00;\-&quot;$&quot;#,##0.00"/>
    <numFmt numFmtId="166" formatCode="0.0"/>
  </numFmts>
  <fonts count="8" x14ac:knownFonts="1">
    <font>
      <sz val="11"/>
      <name val="Calibri"/>
      <family val="2"/>
    </font>
    <font>
      <sz val="10"/>
      <name val="Arial"/>
      <family val="2"/>
    </font>
    <font>
      <b/>
      <sz val="10"/>
      <name val="Arial"/>
      <family val="2"/>
    </font>
    <font>
      <sz val="8"/>
      <color indexed="81"/>
      <name val="Tahoma"/>
      <family val="2"/>
    </font>
    <font>
      <b/>
      <sz val="8"/>
      <color indexed="81"/>
      <name val="Tahoma"/>
      <family val="2"/>
    </font>
    <font>
      <i/>
      <sz val="10"/>
      <name val="Arial"/>
      <family val="2"/>
    </font>
    <font>
      <b/>
      <sz val="12"/>
      <name val="Arial"/>
      <family val="2"/>
    </font>
    <font>
      <sz val="11"/>
      <color rgb="FF000000"/>
      <name val="Calibri"/>
      <family val="2"/>
    </font>
  </fonts>
  <fills count="2">
    <fill>
      <patternFill patternType="none"/>
    </fill>
    <fill>
      <patternFill patternType="gray125"/>
    </fill>
  </fills>
  <borders count="11">
    <border>
      <left/>
      <right/>
      <top/>
      <bottom/>
      <diagonal/>
    </border>
    <border>
      <left style="medium">
        <color indexed="12"/>
      </left>
      <right/>
      <top style="medium">
        <color indexed="12"/>
      </top>
      <bottom style="medium">
        <color indexed="12"/>
      </bottom>
      <diagonal/>
    </border>
    <border>
      <left/>
      <right/>
      <top style="medium">
        <color indexed="12"/>
      </top>
      <bottom style="medium">
        <color indexed="12"/>
      </bottom>
      <diagonal/>
    </border>
    <border>
      <left/>
      <right style="medium">
        <color indexed="12"/>
      </right>
      <top style="medium">
        <color indexed="12"/>
      </top>
      <bottom style="medium">
        <color indexed="12"/>
      </bottom>
      <diagonal/>
    </border>
    <border>
      <left style="medium">
        <color indexed="12"/>
      </left>
      <right style="medium">
        <color indexed="12"/>
      </right>
      <top style="medium">
        <color indexed="12"/>
      </top>
      <bottom style="medium">
        <color indexed="12"/>
      </bottom>
      <diagonal/>
    </border>
    <border>
      <left style="thick">
        <color indexed="10"/>
      </left>
      <right style="thick">
        <color indexed="10"/>
      </right>
      <top style="thick">
        <color indexed="10"/>
      </top>
      <bottom/>
      <diagonal/>
    </border>
    <border>
      <left style="thick">
        <color indexed="10"/>
      </left>
      <right style="thick">
        <color indexed="10"/>
      </right>
      <top/>
      <bottom/>
      <diagonal/>
    </border>
    <border>
      <left style="thick">
        <color indexed="10"/>
      </left>
      <right style="thick">
        <color indexed="10"/>
      </right>
      <top/>
      <bottom style="thick">
        <color indexed="10"/>
      </bottom>
      <diagonal/>
    </border>
    <border>
      <left style="medium">
        <color indexed="12"/>
      </left>
      <right style="medium">
        <color indexed="12"/>
      </right>
      <top style="medium">
        <color indexed="12"/>
      </top>
      <bottom/>
      <diagonal/>
    </border>
    <border>
      <left style="medium">
        <color indexed="12"/>
      </left>
      <right style="medium">
        <color indexed="12"/>
      </right>
      <top/>
      <bottom style="medium">
        <color indexed="12"/>
      </bottom>
      <diagonal/>
    </border>
    <border>
      <left style="double">
        <color indexed="8"/>
      </left>
      <right style="double">
        <color indexed="8"/>
      </right>
      <top style="double">
        <color indexed="8"/>
      </top>
      <bottom style="double">
        <color indexed="8"/>
      </bottom>
      <diagonal/>
    </border>
  </borders>
  <cellStyleXfs count="2">
    <xf numFmtId="0" fontId="0" fillId="0" borderId="0"/>
    <xf numFmtId="9" fontId="1" fillId="0" borderId="0" applyFont="0" applyFill="0" applyBorder="0" applyAlignment="0" applyProtection="0"/>
  </cellStyleXfs>
  <cellXfs count="34">
    <xf numFmtId="0" fontId="0" fillId="0" borderId="0" xfId="0"/>
    <xf numFmtId="0" fontId="2" fillId="0" borderId="0" xfId="0" applyFont="1"/>
    <xf numFmtId="0" fontId="0" fillId="0" borderId="0" xfId="0" applyAlignment="1">
      <alignment horizontal="right"/>
    </xf>
    <xf numFmtId="0" fontId="0" fillId="0" borderId="0" xfId="0" applyAlignment="1">
      <alignment horizontal="left"/>
    </xf>
    <xf numFmtId="0" fontId="0" fillId="0" borderId="0" xfId="0" applyBorder="1"/>
    <xf numFmtId="0" fontId="0" fillId="0" borderId="1" xfId="0" applyBorder="1"/>
    <xf numFmtId="0" fontId="0" fillId="0" borderId="2" xfId="0" applyBorder="1"/>
    <xf numFmtId="0" fontId="0" fillId="0" borderId="3" xfId="0" applyBorder="1"/>
    <xf numFmtId="9" fontId="0" fillId="0" borderId="4" xfId="0" applyNumberFormat="1" applyBorder="1"/>
    <xf numFmtId="0" fontId="0" fillId="0" borderId="0" xfId="0" applyBorder="1" applyAlignment="1">
      <alignment horizontal="right"/>
    </xf>
    <xf numFmtId="9" fontId="0" fillId="0" borderId="0" xfId="1" applyFont="1"/>
    <xf numFmtId="2" fontId="0" fillId="0" borderId="0" xfId="0" applyNumberFormat="1" applyBorder="1"/>
    <xf numFmtId="1" fontId="0" fillId="0" borderId="5" xfId="0" applyNumberFormat="1" applyBorder="1"/>
    <xf numFmtId="1" fontId="0" fillId="0" borderId="6" xfId="0" applyNumberFormat="1" applyBorder="1"/>
    <xf numFmtId="1" fontId="0" fillId="0" borderId="7" xfId="0" applyNumberFormat="1" applyBorder="1"/>
    <xf numFmtId="1" fontId="0" fillId="0" borderId="0" xfId="0" applyNumberFormat="1"/>
    <xf numFmtId="165" fontId="0" fillId="0" borderId="8" xfId="0" applyNumberFormat="1" applyBorder="1"/>
    <xf numFmtId="165" fontId="0" fillId="0" borderId="9" xfId="0" applyNumberFormat="1" applyBorder="1"/>
    <xf numFmtId="164" fontId="0" fillId="0" borderId="0" xfId="0" applyNumberFormat="1" applyBorder="1"/>
    <xf numFmtId="164" fontId="0" fillId="0" borderId="0" xfId="0" applyNumberFormat="1"/>
    <xf numFmtId="164" fontId="0" fillId="0" borderId="10" xfId="0" applyNumberFormat="1" applyBorder="1"/>
    <xf numFmtId="0" fontId="0" fillId="0" borderId="0" xfId="0" applyAlignment="1">
      <alignment horizontal="left" indent="1"/>
    </xf>
    <xf numFmtId="166" fontId="0" fillId="0" borderId="0" xfId="0" applyNumberFormat="1"/>
    <xf numFmtId="9" fontId="2" fillId="0" borderId="0" xfId="1" applyFont="1"/>
    <xf numFmtId="0" fontId="0" fillId="0" borderId="0" xfId="0" applyFill="1"/>
    <xf numFmtId="0" fontId="6" fillId="0" borderId="0" xfId="0" applyFont="1" applyFill="1" applyAlignment="1">
      <alignment horizontal="left"/>
    </xf>
    <xf numFmtId="0" fontId="6" fillId="0" borderId="0" xfId="0" applyFont="1" applyFill="1" applyAlignment="1">
      <alignment horizontal="center"/>
    </xf>
    <xf numFmtId="0" fontId="2" fillId="0" borderId="0" xfId="0" applyFont="1" applyFill="1"/>
    <xf numFmtId="164" fontId="0" fillId="0" borderId="0" xfId="0" applyNumberFormat="1" applyFill="1"/>
    <xf numFmtId="0" fontId="5" fillId="0" borderId="0" xfId="0" applyFont="1" applyFill="1"/>
    <xf numFmtId="0" fontId="5" fillId="0" borderId="0" xfId="0" applyFont="1" applyFill="1" applyAlignment="1">
      <alignment horizontal="right"/>
    </xf>
    <xf numFmtId="1" fontId="0" fillId="0" borderId="0" xfId="0" applyNumberFormat="1" applyFill="1"/>
    <xf numFmtId="0" fontId="5" fillId="0" borderId="0" xfId="0" applyFont="1" applyFill="1" applyAlignment="1">
      <alignment horizontal="left"/>
    </xf>
    <xf numFmtId="0" fontId="6" fillId="0" borderId="0" xfId="0" applyFont="1" applyFill="1" applyAlignment="1">
      <alignment horizontal="center"/>
    </xf>
  </cellXfs>
  <cellStyles count="2">
    <cellStyle name="Normal" xfId="0" builtinId="0" customBuiltin="1"/>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chartsheet" Target="chartsheets/sheet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3.xml"/><Relationship Id="rId11" Type="http://schemas.microsoft.com/office/2006/relationships/vbaProject" Target="vbaProject.bin"/><Relationship Id="rId5" Type="http://schemas.openxmlformats.org/officeDocument/2006/relationships/chartsheet" Target="chartsheets/sheet2.xml"/><Relationship Id="rId10" Type="http://schemas.openxmlformats.org/officeDocument/2006/relationships/calcChain" Target="calcChain.xml"/><Relationship Id="rId4" Type="http://schemas.openxmlformats.org/officeDocument/2006/relationships/worksheet" Target="worksheets/sheet3.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Sensitivity Chart of Weekly Payroll Cost</a:t>
            </a:r>
          </a:p>
        </c:rich>
      </c:tx>
      <c:layout>
        <c:manualLayout>
          <c:xMode val="edge"/>
          <c:yMode val="edge"/>
          <c:x val="0.32963374028856829"/>
          <c:y val="1.9639934533551555E-2"/>
        </c:manualLayout>
      </c:layout>
      <c:overlay val="0"/>
      <c:spPr>
        <a:noFill/>
        <a:ln w="25400">
          <a:noFill/>
        </a:ln>
      </c:spPr>
    </c:title>
    <c:autoTitleDeleted val="0"/>
    <c:view3D>
      <c:rotX val="15"/>
      <c:hPercent val="100"/>
      <c:rotY val="20"/>
      <c:depthPercent val="100"/>
      <c:rAngAx val="0"/>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6.1043285238623762E-2"/>
          <c:y val="0.10147299509001637"/>
          <c:w val="0.73917869034406225"/>
          <c:h val="0.81833060556464809"/>
        </c:manualLayout>
      </c:layout>
      <c:bar3DChart>
        <c:barDir val="col"/>
        <c:grouping val="standard"/>
        <c:varyColors val="0"/>
        <c:ser>
          <c:idx val="0"/>
          <c:order val="0"/>
          <c:tx>
            <c:v>0%</c:v>
          </c:tx>
          <c:spPr>
            <a:solidFill>
              <a:srgbClr val="9999FF"/>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8640</c:v>
              </c:pt>
              <c:pt idx="1">
                <c:v>8800</c:v>
              </c:pt>
              <c:pt idx="2">
                <c:v>8960</c:v>
              </c:pt>
              <c:pt idx="3">
                <c:v>9120</c:v>
              </c:pt>
              <c:pt idx="4">
                <c:v>9280</c:v>
              </c:pt>
              <c:pt idx="5">
                <c:v>9440</c:v>
              </c:pt>
              <c:pt idx="6">
                <c:v>9600</c:v>
              </c:pt>
              <c:pt idx="7">
                <c:v>9760</c:v>
              </c:pt>
              <c:pt idx="8">
                <c:v>9920</c:v>
              </c:pt>
              <c:pt idx="9">
                <c:v>10080</c:v>
              </c:pt>
              <c:pt idx="10">
                <c:v>10240</c:v>
              </c:pt>
            </c:numLit>
          </c:val>
          <c:extLst>
            <c:ext xmlns:c16="http://schemas.microsoft.com/office/drawing/2014/chart" uri="{C3380CC4-5D6E-409C-BE32-E72D297353CC}">
              <c16:uniqueId val="{00000000-15FA-4127-B636-842F7EB7B8E2}"/>
            </c:ext>
          </c:extLst>
        </c:ser>
        <c:ser>
          <c:idx val="1"/>
          <c:order val="1"/>
          <c:tx>
            <c:v>10%</c:v>
          </c:tx>
          <c:spPr>
            <a:solidFill>
              <a:srgbClr val="993366"/>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8320</c:v>
              </c:pt>
              <c:pt idx="1">
                <c:v>8480</c:v>
              </c:pt>
              <c:pt idx="2">
                <c:v>8640</c:v>
              </c:pt>
              <c:pt idx="3">
                <c:v>8800</c:v>
              </c:pt>
              <c:pt idx="4">
                <c:v>8960</c:v>
              </c:pt>
              <c:pt idx="5">
                <c:v>9120</c:v>
              </c:pt>
              <c:pt idx="6">
                <c:v>9280</c:v>
              </c:pt>
              <c:pt idx="7">
                <c:v>9440</c:v>
              </c:pt>
              <c:pt idx="8">
                <c:v>9600</c:v>
              </c:pt>
              <c:pt idx="9">
                <c:v>9760</c:v>
              </c:pt>
              <c:pt idx="10">
                <c:v>9920</c:v>
              </c:pt>
            </c:numLit>
          </c:val>
          <c:extLst>
            <c:ext xmlns:c16="http://schemas.microsoft.com/office/drawing/2014/chart" uri="{C3380CC4-5D6E-409C-BE32-E72D297353CC}">
              <c16:uniqueId val="{00000001-15FA-4127-B636-842F7EB7B8E2}"/>
            </c:ext>
          </c:extLst>
        </c:ser>
        <c:ser>
          <c:idx val="2"/>
          <c:order val="2"/>
          <c:tx>
            <c:v>20%</c:v>
          </c:tx>
          <c:spPr>
            <a:solidFill>
              <a:srgbClr val="FFFFCC"/>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2-15FA-4127-B636-842F7EB7B8E2}"/>
            </c:ext>
          </c:extLst>
        </c:ser>
        <c:ser>
          <c:idx val="3"/>
          <c:order val="3"/>
          <c:tx>
            <c:v>30%</c:v>
          </c:tx>
          <c:spPr>
            <a:solidFill>
              <a:srgbClr val="CCFFFF"/>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3-15FA-4127-B636-842F7EB7B8E2}"/>
            </c:ext>
          </c:extLst>
        </c:ser>
        <c:ser>
          <c:idx val="4"/>
          <c:order val="4"/>
          <c:tx>
            <c:v>40%</c:v>
          </c:tx>
          <c:spPr>
            <a:solidFill>
              <a:srgbClr val="660066"/>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4-15FA-4127-B636-842F7EB7B8E2}"/>
            </c:ext>
          </c:extLst>
        </c:ser>
        <c:ser>
          <c:idx val="5"/>
          <c:order val="5"/>
          <c:tx>
            <c:v>50%</c:v>
          </c:tx>
          <c:spPr>
            <a:solidFill>
              <a:srgbClr val="FF8080"/>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5-15FA-4127-B636-842F7EB7B8E2}"/>
            </c:ext>
          </c:extLst>
        </c:ser>
        <c:ser>
          <c:idx val="6"/>
          <c:order val="6"/>
          <c:tx>
            <c:v>60%</c:v>
          </c:tx>
          <c:spPr>
            <a:solidFill>
              <a:srgbClr val="0066CC"/>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6-15FA-4127-B636-842F7EB7B8E2}"/>
            </c:ext>
          </c:extLst>
        </c:ser>
        <c:ser>
          <c:idx val="7"/>
          <c:order val="7"/>
          <c:tx>
            <c:v>70%</c:v>
          </c:tx>
          <c:spPr>
            <a:solidFill>
              <a:srgbClr val="CCCCFF"/>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7-15FA-4127-B636-842F7EB7B8E2}"/>
            </c:ext>
          </c:extLst>
        </c:ser>
        <c:ser>
          <c:idx val="8"/>
          <c:order val="8"/>
          <c:tx>
            <c:v>80%</c:v>
          </c:tx>
          <c:spPr>
            <a:solidFill>
              <a:srgbClr val="000080"/>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8-15FA-4127-B636-842F7EB7B8E2}"/>
            </c:ext>
          </c:extLst>
        </c:ser>
        <c:ser>
          <c:idx val="9"/>
          <c:order val="9"/>
          <c:tx>
            <c:v>90%</c:v>
          </c:tx>
          <c:spPr>
            <a:solidFill>
              <a:srgbClr val="FF00FF"/>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9-15FA-4127-B636-842F7EB7B8E2}"/>
            </c:ext>
          </c:extLst>
        </c:ser>
        <c:ser>
          <c:idx val="10"/>
          <c:order val="10"/>
          <c:tx>
            <c:v>100%</c:v>
          </c:tx>
          <c:spPr>
            <a:solidFill>
              <a:srgbClr val="FFFF00"/>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A-15FA-4127-B636-842F7EB7B8E2}"/>
            </c:ext>
          </c:extLst>
        </c:ser>
        <c:dLbls>
          <c:showLegendKey val="0"/>
          <c:showVal val="0"/>
          <c:showCatName val="0"/>
          <c:showSerName val="0"/>
          <c:showPercent val="0"/>
          <c:showBubbleSize val="0"/>
        </c:dLbls>
        <c:gapWidth val="150"/>
        <c:shape val="box"/>
        <c:axId val="493836640"/>
        <c:axId val="493834680"/>
        <c:axId val="491740248"/>
      </c:bar3DChart>
      <c:catAx>
        <c:axId val="493836640"/>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Ratio of Weekend to Weekday Rate</a:t>
                </a:r>
              </a:p>
            </c:rich>
          </c:tx>
          <c:layout>
            <c:manualLayout>
              <c:xMode val="edge"/>
              <c:yMode val="edge"/>
              <c:x val="0.1920088790233074"/>
              <c:y val="0.9345335515548282"/>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93834680"/>
        <c:crosses val="autoZero"/>
        <c:auto val="1"/>
        <c:lblAlgn val="ctr"/>
        <c:lblOffset val="100"/>
        <c:tickLblSkip val="1"/>
        <c:tickMarkSkip val="1"/>
        <c:noMultiLvlLbl val="1"/>
      </c:catAx>
      <c:valAx>
        <c:axId val="493834680"/>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93836640"/>
        <c:crosses val="autoZero"/>
        <c:crossBetween val="between"/>
      </c:valAx>
      <c:serAx>
        <c:axId val="49174024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Max Pct of Nonconsecutive</a:t>
                </a:r>
              </a:p>
            </c:rich>
          </c:tx>
          <c:layout>
            <c:manualLayout>
              <c:xMode val="edge"/>
              <c:yMode val="edge"/>
              <c:x val="0.71254162042175362"/>
              <c:y val="0.81178396072013081"/>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93834680"/>
        <c:crosses val="autoZero"/>
        <c:tickLblSkip val="2"/>
        <c:tickMarkSkip val="1"/>
      </c:ser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Sensitivity to Wage Ratio</a:t>
            </a:r>
          </a:p>
        </c:rich>
      </c:tx>
      <c:layout>
        <c:manualLayout>
          <c:xMode val="edge"/>
          <c:yMode val="edge"/>
          <c:x val="0.39178690344062167"/>
          <c:y val="1.9639934533551555E-2"/>
        </c:manualLayout>
      </c:layout>
      <c:overlay val="0"/>
      <c:spPr>
        <a:noFill/>
        <a:ln w="25400">
          <a:noFill/>
        </a:ln>
      </c:spPr>
    </c:title>
    <c:autoTitleDeleted val="0"/>
    <c:plotArea>
      <c:layout>
        <c:manualLayout>
          <c:layoutTarget val="inner"/>
          <c:xMode val="edge"/>
          <c:yMode val="edge"/>
          <c:x val="8.990011098779134E-2"/>
          <c:y val="0.12111292962356793"/>
          <c:w val="0.89900110987791337"/>
          <c:h val="0.77250409165302791"/>
        </c:manualLayout>
      </c:layout>
      <c:barChart>
        <c:barDir val="col"/>
        <c:grouping val="clustered"/>
        <c:varyColors val="0"/>
        <c:ser>
          <c:idx val="1"/>
          <c:order val="0"/>
          <c:spPr>
            <a:solidFill>
              <a:srgbClr val="993366"/>
            </a:solidFill>
            <a:ln w="12700">
              <a:solidFill>
                <a:srgbClr val="000000"/>
              </a:solidFill>
              <a:prstDash val="solid"/>
            </a:ln>
          </c:spPr>
          <c:invertIfNegative val="0"/>
          <c:cat>
            <c:numLit>
              <c:formatCode>General</c:formatCode>
              <c:ptCount val="11"/>
              <c:pt idx="0">
                <c:v>1</c:v>
              </c:pt>
              <c:pt idx="1">
                <c:v>1.1000000000000001</c:v>
              </c:pt>
              <c:pt idx="2">
                <c:v>1.2</c:v>
              </c:pt>
              <c:pt idx="3">
                <c:v>1.3</c:v>
              </c:pt>
              <c:pt idx="4">
                <c:v>1.4</c:v>
              </c:pt>
              <c:pt idx="5">
                <c:v>1.5</c:v>
              </c:pt>
              <c:pt idx="6">
                <c:v>1.6</c:v>
              </c:pt>
              <c:pt idx="7">
                <c:v>1.7</c:v>
              </c:pt>
              <c:pt idx="8">
                <c:v>1.8</c:v>
              </c:pt>
              <c:pt idx="9">
                <c:v>1.9000000000000001</c:v>
              </c:pt>
              <c:pt idx="10">
                <c:v>2</c:v>
              </c:pt>
            </c:numLit>
          </c:cat>
          <c:val>
            <c:numLit>
              <c:formatCode>General</c:formatCode>
              <c:ptCount val="11"/>
              <c:pt idx="0">
                <c:v>8000</c:v>
              </c:pt>
              <c:pt idx="1">
                <c:v>8160</c:v>
              </c:pt>
              <c:pt idx="2">
                <c:v>8320</c:v>
              </c:pt>
              <c:pt idx="3">
                <c:v>8480</c:v>
              </c:pt>
              <c:pt idx="4">
                <c:v>8640</c:v>
              </c:pt>
              <c:pt idx="5">
                <c:v>8800</c:v>
              </c:pt>
              <c:pt idx="6">
                <c:v>8960</c:v>
              </c:pt>
              <c:pt idx="7">
                <c:v>9120</c:v>
              </c:pt>
              <c:pt idx="8">
                <c:v>9280</c:v>
              </c:pt>
              <c:pt idx="9">
                <c:v>9440</c:v>
              </c:pt>
              <c:pt idx="10">
                <c:v>9600</c:v>
              </c:pt>
            </c:numLit>
          </c:val>
          <c:extLst>
            <c:ext xmlns:c16="http://schemas.microsoft.com/office/drawing/2014/chart" uri="{C3380CC4-5D6E-409C-BE32-E72D297353CC}">
              <c16:uniqueId val="{00000000-5E21-4771-B892-D3455ECA6F46}"/>
            </c:ext>
          </c:extLst>
        </c:ser>
        <c:dLbls>
          <c:showLegendKey val="0"/>
          <c:showVal val="0"/>
          <c:showCatName val="0"/>
          <c:showSerName val="0"/>
          <c:showPercent val="0"/>
          <c:showBubbleSize val="0"/>
        </c:dLbls>
        <c:gapWidth val="150"/>
        <c:axId val="493826448"/>
        <c:axId val="493826840"/>
      </c:barChart>
      <c:catAx>
        <c:axId val="493826448"/>
        <c:scaling>
          <c:orientation val="minMax"/>
        </c:scaling>
        <c:delete val="0"/>
        <c:axPos val="b"/>
        <c:title>
          <c:tx>
            <c:rich>
              <a:bodyPr/>
              <a:lstStyle/>
              <a:p>
                <a:pPr>
                  <a:defRPr sz="1000" b="1" i="0" u="none" strike="noStrike" baseline="0">
                    <a:solidFill>
                      <a:srgbClr val="000000"/>
                    </a:solidFill>
                    <a:latin typeface="Arial"/>
                    <a:ea typeface="Arial"/>
                    <a:cs typeface="Arial"/>
                  </a:defRPr>
                </a:pPr>
                <a:r>
                  <a:t>Ratio of Weekend to Weekday</a:t>
                </a:r>
              </a:p>
            </c:rich>
          </c:tx>
          <c:layout>
            <c:manualLayout>
              <c:xMode val="edge"/>
              <c:yMode val="edge"/>
              <c:x val="0.4306326304106548"/>
              <c:y val="0.9443535188216037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93826840"/>
        <c:crosses val="autoZero"/>
        <c:auto val="1"/>
        <c:lblAlgn val="ctr"/>
        <c:lblOffset val="100"/>
        <c:tickLblSkip val="1"/>
        <c:tickMarkSkip val="1"/>
        <c:noMultiLvlLbl val="0"/>
      </c:catAx>
      <c:valAx>
        <c:axId val="4938268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t>Total Cost</a:t>
                </a:r>
              </a:p>
            </c:rich>
          </c:tx>
          <c:layout>
            <c:manualLayout>
              <c:xMode val="edge"/>
              <c:yMode val="edge"/>
              <c:x val="1.2208657047724751E-2"/>
              <c:y val="0.4533551554828150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93826448"/>
        <c:crosses val="autoZero"/>
        <c:crossBetween val="between"/>
      </c:valAx>
      <c:spPr>
        <a:solidFill>
          <a:srgbClr val="C0C0C0"/>
        </a:solid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Sensitivity to Max Pct Nonconsecutive Constraint</a:t>
            </a:r>
          </a:p>
        </c:rich>
      </c:tx>
      <c:layout>
        <c:manualLayout>
          <c:xMode val="edge"/>
          <c:yMode val="edge"/>
          <c:x val="0.28856825749167592"/>
          <c:y val="1.9639934533551555E-2"/>
        </c:manualLayout>
      </c:layout>
      <c:overlay val="0"/>
      <c:spPr>
        <a:noFill/>
        <a:ln w="25400">
          <a:noFill/>
        </a:ln>
      </c:spPr>
    </c:title>
    <c:autoTitleDeleted val="0"/>
    <c:plotArea>
      <c:layout>
        <c:manualLayout>
          <c:layoutTarget val="inner"/>
          <c:xMode val="edge"/>
          <c:yMode val="edge"/>
          <c:x val="6.5482796892341877E-2"/>
          <c:y val="0.12111292962356793"/>
          <c:w val="0.79467258601553825"/>
          <c:h val="0.77414075286415729"/>
        </c:manualLayout>
      </c:layout>
      <c:barChart>
        <c:barDir val="col"/>
        <c:grouping val="clustered"/>
        <c:varyColors val="0"/>
        <c:ser>
          <c:idx val="1"/>
          <c:order val="0"/>
          <c:tx>
            <c:v>Nonconsecutive</c:v>
          </c:tx>
          <c:spPr>
            <a:solidFill>
              <a:srgbClr val="993366"/>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Model!$AA$3:$AA$13</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Model!$AB$3:$AB$13</c:f>
              <c:numCache>
                <c:formatCode>General</c:formatCode>
                <c:ptCount val="11"/>
                <c:pt idx="0">
                  <c:v>0</c:v>
                </c:pt>
                <c:pt idx="1">
                  <c:v>2</c:v>
                </c:pt>
                <c:pt idx="2">
                  <c:v>5.0000000000000071</c:v>
                </c:pt>
                <c:pt idx="3">
                  <c:v>7</c:v>
                </c:pt>
                <c:pt idx="4">
                  <c:v>10</c:v>
                </c:pt>
                <c:pt idx="5">
                  <c:v>13</c:v>
                </c:pt>
                <c:pt idx="6">
                  <c:v>13</c:v>
                </c:pt>
                <c:pt idx="7">
                  <c:v>13</c:v>
                </c:pt>
                <c:pt idx="8">
                  <c:v>19</c:v>
                </c:pt>
                <c:pt idx="9">
                  <c:v>19</c:v>
                </c:pt>
                <c:pt idx="10">
                  <c:v>19</c:v>
                </c:pt>
              </c:numCache>
            </c:numRef>
          </c:val>
          <c:extLst>
            <c:ext xmlns:c16="http://schemas.microsoft.com/office/drawing/2014/chart" uri="{C3380CC4-5D6E-409C-BE32-E72D297353CC}">
              <c16:uniqueId val="{00000000-CBF6-49C3-B2DE-E89E078EBCD4}"/>
            </c:ext>
          </c:extLst>
        </c:ser>
        <c:ser>
          <c:idx val="2"/>
          <c:order val="1"/>
          <c:tx>
            <c:v>Total</c:v>
          </c:tx>
          <c:spPr>
            <a:solidFill>
              <a:srgbClr val="FFFFCC"/>
            </a:solidFill>
            <a:ln w="12700">
              <a:solidFill>
                <a:srgbClr val="000000"/>
              </a:solidFill>
              <a:prstDash val="solid"/>
            </a:ln>
          </c:spPr>
          <c:invertIfNegative val="0"/>
          <c:dLbls>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Model!$AA$3:$AA$13</c:f>
              <c:numCache>
                <c:formatCode>0%</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Model!$AC$3:$AC$13</c:f>
              <c:numCache>
                <c:formatCode>General</c:formatCode>
                <c:ptCount val="11"/>
                <c:pt idx="0">
                  <c:v>29</c:v>
                </c:pt>
                <c:pt idx="1">
                  <c:v>28</c:v>
                </c:pt>
                <c:pt idx="2">
                  <c:v>27</c:v>
                </c:pt>
                <c:pt idx="3">
                  <c:v>26</c:v>
                </c:pt>
                <c:pt idx="4">
                  <c:v>26</c:v>
                </c:pt>
                <c:pt idx="5">
                  <c:v>26</c:v>
                </c:pt>
                <c:pt idx="6">
                  <c:v>26</c:v>
                </c:pt>
                <c:pt idx="7">
                  <c:v>26</c:v>
                </c:pt>
                <c:pt idx="8">
                  <c:v>26</c:v>
                </c:pt>
                <c:pt idx="9">
                  <c:v>26</c:v>
                </c:pt>
                <c:pt idx="10">
                  <c:v>26</c:v>
                </c:pt>
              </c:numCache>
            </c:numRef>
          </c:val>
          <c:extLst>
            <c:ext xmlns:c16="http://schemas.microsoft.com/office/drawing/2014/chart" uri="{C3380CC4-5D6E-409C-BE32-E72D297353CC}">
              <c16:uniqueId val="{00000001-CBF6-49C3-B2DE-E89E078EBCD4}"/>
            </c:ext>
          </c:extLst>
        </c:ser>
        <c:dLbls>
          <c:showLegendKey val="0"/>
          <c:showVal val="0"/>
          <c:showCatName val="0"/>
          <c:showSerName val="0"/>
          <c:showPercent val="0"/>
          <c:showBubbleSize val="0"/>
        </c:dLbls>
        <c:gapWidth val="150"/>
        <c:axId val="493833112"/>
        <c:axId val="493834288"/>
      </c:barChart>
      <c:catAx>
        <c:axId val="493833112"/>
        <c:scaling>
          <c:orientation val="minMax"/>
        </c:scaling>
        <c:delete val="0"/>
        <c:axPos val="b"/>
        <c:title>
          <c:tx>
            <c:rich>
              <a:bodyPr/>
              <a:lstStyle/>
              <a:p>
                <a:pPr>
                  <a:defRPr sz="925" b="1" i="0" u="none" strike="noStrike" baseline="0">
                    <a:solidFill>
                      <a:srgbClr val="000000"/>
                    </a:solidFill>
                    <a:latin typeface="Arial"/>
                    <a:ea typeface="Arial"/>
                    <a:cs typeface="Arial"/>
                  </a:defRPr>
                </a:pPr>
                <a:r>
                  <a:t>Maximum Pct Nonconsecutive Allowed</a:t>
                </a:r>
              </a:p>
            </c:rich>
          </c:tx>
          <c:layout>
            <c:manualLayout>
              <c:xMode val="edge"/>
              <c:yMode val="edge"/>
              <c:x val="0.33851276359600457"/>
              <c:y val="0.9459901800327332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93834288"/>
        <c:crosses val="autoZero"/>
        <c:auto val="1"/>
        <c:lblAlgn val="ctr"/>
        <c:lblOffset val="100"/>
        <c:tickLblSkip val="1"/>
        <c:tickMarkSkip val="1"/>
        <c:noMultiLvlLbl val="0"/>
      </c:catAx>
      <c:valAx>
        <c:axId val="49383428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t>Number of workers</a:t>
                </a:r>
              </a:p>
            </c:rich>
          </c:tx>
          <c:layout>
            <c:manualLayout>
              <c:xMode val="edge"/>
              <c:yMode val="edge"/>
              <c:x val="1.2208657047724751E-2"/>
              <c:y val="0.4157119476268412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93833112"/>
        <c:crosses val="autoZero"/>
        <c:crossBetween val="between"/>
      </c:valAx>
      <c:spPr>
        <a:solidFill>
          <a:srgbClr val="C0C0C0"/>
        </a:solidFill>
        <a:ln w="12700">
          <a:solidFill>
            <a:srgbClr val="808080"/>
          </a:solidFill>
          <a:prstDash val="solid"/>
        </a:ln>
      </c:spPr>
    </c:plotArea>
    <c:legend>
      <c:legendPos val="r"/>
      <c:layout>
        <c:manualLayout>
          <c:xMode val="edge"/>
          <c:yMode val="edge"/>
          <c:x val="0.87236403995560474"/>
          <c:y val="0.47299509001636664"/>
          <c:w val="0.12319644839067705"/>
          <c:h val="7.0376432078559759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4.xml"/></Relationships>
</file>

<file path=xl/chartsheets/_rels/sheet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200-000000000000}">
  <sheetPr codeName="Chart3"/>
  <sheetViews>
    <sheetView zoomScale="87" workbookViewId="0" zoomToFit="1"/>
  </sheetViews>
  <pageMargins left="0.75" right="0.75" top="1" bottom="1" header="0.5" footer="0.5"/>
  <headerFooter alignWithMargins="0"/>
  <drawing r:id="rId1"/>
  <legacyDrawing r:id="rId2"/>
</chartsheet>
</file>

<file path=xl/chartsheets/sheet2.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workbookViewId="0" zoomToFit="1"/>
  </sheetViews>
  <pageMargins left="0.75" right="0.75" top="1" bottom="1" header="0.5" footer="0.5"/>
  <headerFooter alignWithMargins="0"/>
  <drawing r:id="rId1"/>
  <legacyDrawing r:id="rId2"/>
</chartsheet>
</file>

<file path=xl/chartsheets/sheet3.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500-000000000000}">
  <sheetPr codeName="Chart1"/>
  <sheetViews>
    <sheetView workbookViewId="0" zoomToFit="1"/>
  </sheetViews>
  <pageMargins left="0.75" right="0.75" top="1" bottom="1" header="0.5" footer="0.5"/>
  <headerFooter alignWithMargins="0"/>
  <drawing r:id="rId1"/>
  <legacy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502920</xdr:colOff>
          <xdr:row>2</xdr:row>
          <xdr:rowOff>106680</xdr:rowOff>
        </xdr:from>
        <xdr:to>
          <xdr:col>6</xdr:col>
          <xdr:colOff>144780</xdr:colOff>
          <xdr:row>4</xdr:row>
          <xdr:rowOff>45720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Run the application</a:t>
              </a:r>
            </a:p>
          </xdr:txBody>
        </xdr:sp>
        <xdr:clientData fPrintsWithSheet="0"/>
      </xdr:twoCellAnchor>
    </mc:Choice>
    <mc:Fallback/>
  </mc:AlternateContent>
  <xdr:twoCellAnchor>
    <xdr:from>
      <xdr:col>1</xdr:col>
      <xdr:colOff>142875</xdr:colOff>
      <xdr:row>5</xdr:row>
      <xdr:rowOff>171451</xdr:rowOff>
    </xdr:from>
    <xdr:to>
      <xdr:col>8</xdr:col>
      <xdr:colOff>514350</xdr:colOff>
      <xdr:row>11</xdr:row>
      <xdr:rowOff>57151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752475" y="1133476"/>
          <a:ext cx="4638675" cy="1028700"/>
        </a:xfrm>
        <a:prstGeom prst="roundRect">
          <a:avLst/>
        </a:prstGeom>
        <a:solidFill>
          <a:schemeClr val="bg1">
            <a:lumMod val="95000"/>
          </a:schemeClr>
        </a:solid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One more extra button is now on the Report sheet. There is also an extra chart sheet for the new sensitivity results, and they are linked to data in the Model sheet, starting in cell AA16.  Finally, there is an extra Sensitivity3 sub that runs the new sensitivity analysis.</a:t>
          </a:r>
          <a:endParaRPr lang="en-US">
            <a:effectLst/>
          </a:endParaRPr>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671034" cy="6295259"/>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746760</xdr:colOff>
          <xdr:row>1</xdr:row>
          <xdr:rowOff>7620</xdr:rowOff>
        </xdr:from>
        <xdr:to>
          <xdr:col>7</xdr:col>
          <xdr:colOff>45720</xdr:colOff>
          <xdr:row>2</xdr:row>
          <xdr:rowOff>7620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Return to Explanation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0</xdr:row>
          <xdr:rowOff>137160</xdr:rowOff>
        </xdr:from>
        <xdr:to>
          <xdr:col>13</xdr:col>
          <xdr:colOff>525780</xdr:colOff>
          <xdr:row>1</xdr:row>
          <xdr:rowOff>175260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Perform Sensitivity on max pct nonconsec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2</xdr:row>
          <xdr:rowOff>7620</xdr:rowOff>
        </xdr:from>
        <xdr:to>
          <xdr:col>13</xdr:col>
          <xdr:colOff>525780</xdr:colOff>
          <xdr:row>3</xdr:row>
          <xdr:rowOff>45720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Perform Sensitivity on wage ratio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3</xdr:row>
          <xdr:rowOff>99060</xdr:rowOff>
        </xdr:from>
        <xdr:to>
          <xdr:col>13</xdr:col>
          <xdr:colOff>525780</xdr:colOff>
          <xdr:row>4</xdr:row>
          <xdr:rowOff>137160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Perform Sensitivity on both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582025" cy="5819775"/>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582025" cy="5819775"/>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0.0075</cdr:x>
      <cdr:y>0</cdr:y>
    </cdr:from>
    <cdr:to>
      <cdr:x>0.2495</cdr:x>
      <cdr:y>0.0655</cdr:y>
    </cdr:to>
    <cdr:sp macro="" textlink="">
      <cdr:nvSpPr>
        <cdr:cNvPr id="4098" name="Text Box 2"/>
        <cdr:cNvSpPr txBox="1">
          <a:spLocks xmlns:a="http://schemas.openxmlformats.org/drawingml/2006/main" noChangeArrowheads="1"/>
        </cdr:cNvSpPr>
      </cdr:nvSpPr>
      <cdr:spPr bwMode="auto">
        <a:xfrm xmlns:a="http://schemas.openxmlformats.org/drawingml/2006/main">
          <a:off x="64365" y="0"/>
          <a:ext cx="2076850" cy="381195"/>
        </a:xfrm>
        <a:prstGeom xmlns:a="http://schemas.openxmlformats.org/drawingml/2006/main" prst="rect">
          <a:avLst/>
        </a:prstGeom>
        <a:noFill xmlns:a="http://schemas.openxmlformats.org/drawingml/2006/main"/>
        <a:ln xmlns:a="http://schemas.openxmlformats.org/drawingml/2006/main" w="9525">
          <a:noFill/>
          <a:miter lim="800000"/>
          <a:headEnd/>
          <a:tailEnd/>
        </a:ln>
      </cdr:spPr>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5.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sExplanation"/>
  <dimension ref="B2:I2"/>
  <sheetViews>
    <sheetView showGridLines="0" showRowColHeaders="0" workbookViewId="0"/>
  </sheetViews>
  <sheetFormatPr defaultColWidth="9.109375" defaultRowHeight="14.4" x14ac:dyDescent="0.3"/>
  <cols>
    <col min="1" max="16384" width="9.109375" style="24"/>
  </cols>
  <sheetData>
    <row r="2" spans="2:9" ht="15.6" x14ac:dyDescent="0.3">
      <c r="B2" s="33"/>
      <c r="C2" s="33"/>
      <c r="D2" s="33"/>
      <c r="E2" s="33"/>
      <c r="F2" s="33"/>
      <c r="G2" s="33"/>
      <c r="H2" s="33"/>
      <c r="I2" s="33"/>
    </row>
  </sheetData>
  <mergeCells count="1">
    <mergeCell ref="B2:I2"/>
  </mergeCells>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Scheduling">
                <anchor moveWithCells="1" sizeWithCells="1">
                  <from>
                    <xdr:col>3</xdr:col>
                    <xdr:colOff>502920</xdr:colOff>
                    <xdr:row>2</xdr:row>
                    <xdr:rowOff>106680</xdr:rowOff>
                  </from>
                  <to>
                    <xdr:col>6</xdr:col>
                    <xdr:colOff>144780</xdr:colOff>
                    <xdr:row>4</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sModel"/>
  <dimension ref="A1:AL45"/>
  <sheetViews>
    <sheetView topLeftCell="O1" workbookViewId="0">
      <selection activeCell="Y33" sqref="Y33"/>
    </sheetView>
  </sheetViews>
  <sheetFormatPr defaultRowHeight="14.4" x14ac:dyDescent="0.3"/>
  <cols>
    <col min="1" max="1" width="20.88671875" customWidth="1"/>
    <col min="2" max="2" width="11" customWidth="1"/>
    <col min="3" max="3" width="11.88671875" customWidth="1"/>
    <col min="7" max="7" width="11.44140625" customWidth="1"/>
    <col min="28" max="28" width="11.33203125" customWidth="1"/>
    <col min="29" max="29" width="9.6640625" customWidth="1"/>
  </cols>
  <sheetData>
    <row r="1" spans="1:33" x14ac:dyDescent="0.3">
      <c r="A1" s="1" t="s">
        <v>0</v>
      </c>
      <c r="AA1" s="1" t="s">
        <v>63</v>
      </c>
      <c r="AF1" s="1" t="s">
        <v>58</v>
      </c>
    </row>
    <row r="2" spans="1:33" x14ac:dyDescent="0.3">
      <c r="AA2" s="2" t="s">
        <v>48</v>
      </c>
      <c r="AB2" s="2" t="s">
        <v>60</v>
      </c>
      <c r="AC2" s="2" t="s">
        <v>62</v>
      </c>
      <c r="AF2" s="2" t="s">
        <v>59</v>
      </c>
      <c r="AG2" s="2" t="s">
        <v>61</v>
      </c>
    </row>
    <row r="3" spans="1:33" ht="15" thickBot="1" x14ac:dyDescent="0.35">
      <c r="A3" s="1" t="s">
        <v>35</v>
      </c>
      <c r="F3" s="1" t="s">
        <v>56</v>
      </c>
      <c r="AA3" s="10">
        <v>0</v>
      </c>
      <c r="AB3">
        <v>0</v>
      </c>
      <c r="AC3">
        <v>29</v>
      </c>
      <c r="AF3" s="22">
        <v>1</v>
      </c>
      <c r="AG3">
        <v>8320</v>
      </c>
    </row>
    <row r="4" spans="1:33" ht="15" thickBot="1" x14ac:dyDescent="0.35">
      <c r="B4" s="8">
        <v>1</v>
      </c>
      <c r="F4" t="s">
        <v>51</v>
      </c>
      <c r="G4" s="16">
        <v>18</v>
      </c>
      <c r="AA4" s="10">
        <v>0.1</v>
      </c>
      <c r="AB4">
        <v>2</v>
      </c>
      <c r="AC4">
        <v>28</v>
      </c>
      <c r="AF4" s="22">
        <v>1.1000000000000001</v>
      </c>
      <c r="AG4">
        <v>8480</v>
      </c>
    </row>
    <row r="5" spans="1:33" ht="15" thickBot="1" x14ac:dyDescent="0.35">
      <c r="F5" t="s">
        <v>52</v>
      </c>
      <c r="G5" s="17">
        <v>26</v>
      </c>
      <c r="AA5" s="10">
        <v>0.2</v>
      </c>
      <c r="AB5">
        <v>5.0000000000000071</v>
      </c>
      <c r="AC5">
        <v>27</v>
      </c>
      <c r="AF5" s="22">
        <v>1.2</v>
      </c>
      <c r="AG5">
        <v>8640</v>
      </c>
    </row>
    <row r="6" spans="1:33" x14ac:dyDescent="0.3">
      <c r="A6" s="1" t="s">
        <v>40</v>
      </c>
      <c r="AA6" s="10">
        <v>0.3</v>
      </c>
      <c r="AB6">
        <v>7</v>
      </c>
      <c r="AC6">
        <v>26</v>
      </c>
      <c r="AF6" s="22">
        <v>1.3</v>
      </c>
      <c r="AG6">
        <v>8800</v>
      </c>
    </row>
    <row r="7" spans="1:33" ht="15" thickBot="1" x14ac:dyDescent="0.35">
      <c r="A7" s="3" t="s">
        <v>3</v>
      </c>
      <c r="B7" s="2" t="s">
        <v>4</v>
      </c>
      <c r="C7" s="2" t="s">
        <v>39</v>
      </c>
      <c r="AA7" s="10">
        <v>0.4</v>
      </c>
      <c r="AB7">
        <v>10</v>
      </c>
      <c r="AC7">
        <v>26</v>
      </c>
      <c r="AF7" s="22">
        <v>1.4</v>
      </c>
      <c r="AG7">
        <v>8960</v>
      </c>
    </row>
    <row r="8" spans="1:33" ht="15" thickTop="1" x14ac:dyDescent="0.3">
      <c r="A8" t="s">
        <v>1</v>
      </c>
      <c r="B8">
        <v>1</v>
      </c>
      <c r="C8" s="12">
        <v>0</v>
      </c>
      <c r="F8" s="4"/>
      <c r="AA8" s="10">
        <v>0.5</v>
      </c>
      <c r="AB8">
        <v>13</v>
      </c>
      <c r="AC8">
        <v>26</v>
      </c>
      <c r="AF8" s="22">
        <v>1.5</v>
      </c>
      <c r="AG8">
        <v>9120</v>
      </c>
    </row>
    <row r="9" spans="1:33" x14ac:dyDescent="0.3">
      <c r="A9" t="s">
        <v>2</v>
      </c>
      <c r="B9">
        <v>0</v>
      </c>
      <c r="C9" s="13">
        <v>0</v>
      </c>
      <c r="F9" s="4"/>
      <c r="AA9" s="10">
        <v>0.6</v>
      </c>
      <c r="AB9">
        <v>13</v>
      </c>
      <c r="AC9">
        <v>26</v>
      </c>
      <c r="AF9" s="22">
        <v>1.6</v>
      </c>
      <c r="AG9">
        <v>9280</v>
      </c>
    </row>
    <row r="10" spans="1:33" x14ac:dyDescent="0.3">
      <c r="A10" t="s">
        <v>5</v>
      </c>
      <c r="B10">
        <v>0</v>
      </c>
      <c r="C10" s="13">
        <v>0</v>
      </c>
      <c r="F10" s="4"/>
      <c r="AA10" s="10">
        <v>0.7</v>
      </c>
      <c r="AB10">
        <v>13</v>
      </c>
      <c r="AC10">
        <v>26</v>
      </c>
      <c r="AF10" s="22">
        <v>1.7</v>
      </c>
      <c r="AG10">
        <v>9440</v>
      </c>
    </row>
    <row r="11" spans="1:33" x14ac:dyDescent="0.3">
      <c r="A11" t="s">
        <v>6</v>
      </c>
      <c r="B11">
        <v>0</v>
      </c>
      <c r="C11" s="13">
        <v>0</v>
      </c>
      <c r="F11" s="4"/>
      <c r="AA11" s="10">
        <v>0.8</v>
      </c>
      <c r="AB11">
        <v>19</v>
      </c>
      <c r="AC11">
        <v>26</v>
      </c>
      <c r="AF11" s="22">
        <v>1.8</v>
      </c>
      <c r="AG11">
        <v>9600</v>
      </c>
    </row>
    <row r="12" spans="1:33" x14ac:dyDescent="0.3">
      <c r="A12" t="s">
        <v>7</v>
      </c>
      <c r="B12">
        <v>0</v>
      </c>
      <c r="C12" s="13">
        <v>0</v>
      </c>
      <c r="F12" s="4"/>
      <c r="AA12" s="10">
        <v>0.9</v>
      </c>
      <c r="AB12">
        <v>19</v>
      </c>
      <c r="AC12">
        <v>26</v>
      </c>
      <c r="AF12" s="22">
        <v>1.9</v>
      </c>
      <c r="AG12">
        <v>9760</v>
      </c>
    </row>
    <row r="13" spans="1:33" x14ac:dyDescent="0.3">
      <c r="A13" t="s">
        <v>8</v>
      </c>
      <c r="B13">
        <v>1</v>
      </c>
      <c r="C13" s="13">
        <v>6</v>
      </c>
      <c r="F13" s="4"/>
      <c r="AA13" s="10">
        <v>1</v>
      </c>
      <c r="AB13">
        <v>19</v>
      </c>
      <c r="AC13">
        <v>26</v>
      </c>
      <c r="AF13" s="22">
        <v>2</v>
      </c>
      <c r="AG13">
        <v>9920</v>
      </c>
    </row>
    <row r="14" spans="1:33" x14ac:dyDescent="0.3">
      <c r="A14" t="s">
        <v>9</v>
      </c>
      <c r="B14">
        <v>1</v>
      </c>
      <c r="C14" s="13">
        <v>0</v>
      </c>
      <c r="F14" s="4"/>
      <c r="AA14" s="10"/>
    </row>
    <row r="15" spans="1:33" x14ac:dyDescent="0.3">
      <c r="A15" t="s">
        <v>10</v>
      </c>
      <c r="B15">
        <v>0</v>
      </c>
      <c r="C15" s="13">
        <v>0</v>
      </c>
      <c r="F15" s="4"/>
      <c r="AA15" s="10"/>
    </row>
    <row r="16" spans="1:33" x14ac:dyDescent="0.3">
      <c r="A16" t="s">
        <v>11</v>
      </c>
      <c r="B16">
        <v>0</v>
      </c>
      <c r="C16" s="13">
        <v>0</v>
      </c>
      <c r="F16" s="4"/>
      <c r="AA16" s="23" t="s">
        <v>64</v>
      </c>
    </row>
    <row r="17" spans="1:38" x14ac:dyDescent="0.3">
      <c r="A17" t="s">
        <v>12</v>
      </c>
      <c r="B17">
        <v>0</v>
      </c>
      <c r="C17" s="13">
        <v>10</v>
      </c>
      <c r="F17" s="4"/>
      <c r="AA17" s="10"/>
      <c r="AB17" s="22">
        <v>9280</v>
      </c>
      <c r="AC17" s="22">
        <v>9440</v>
      </c>
      <c r="AD17" s="22">
        <v>9600</v>
      </c>
      <c r="AE17" s="22">
        <v>9760</v>
      </c>
      <c r="AF17" s="22">
        <v>9920</v>
      </c>
      <c r="AG17" s="22">
        <v>10080</v>
      </c>
      <c r="AH17" s="22">
        <v>10240</v>
      </c>
      <c r="AI17" s="22">
        <v>10400</v>
      </c>
      <c r="AJ17" s="22">
        <v>10560</v>
      </c>
      <c r="AK17" s="22">
        <v>10720</v>
      </c>
      <c r="AL17" s="22">
        <v>10880</v>
      </c>
    </row>
    <row r="18" spans="1:38" x14ac:dyDescent="0.3">
      <c r="A18" t="s">
        <v>13</v>
      </c>
      <c r="B18">
        <v>0</v>
      </c>
      <c r="C18" s="13">
        <v>1</v>
      </c>
      <c r="F18" s="4"/>
      <c r="AA18" s="10">
        <v>0</v>
      </c>
      <c r="AB18" s="19">
        <v>8960</v>
      </c>
      <c r="AC18" s="19">
        <v>9120</v>
      </c>
      <c r="AD18" s="19">
        <v>9280</v>
      </c>
      <c r="AE18" s="19">
        <v>9440</v>
      </c>
      <c r="AF18" s="19">
        <v>9600</v>
      </c>
      <c r="AG18" s="19">
        <v>9760</v>
      </c>
      <c r="AH18" s="19">
        <v>9920</v>
      </c>
      <c r="AI18" s="19">
        <v>10080</v>
      </c>
      <c r="AJ18" s="19">
        <v>10240</v>
      </c>
      <c r="AK18" s="19">
        <v>10400</v>
      </c>
      <c r="AL18" s="19">
        <v>10560</v>
      </c>
    </row>
    <row r="19" spans="1:38" x14ac:dyDescent="0.3">
      <c r="A19" t="s">
        <v>14</v>
      </c>
      <c r="B19">
        <v>1</v>
      </c>
      <c r="C19" s="13">
        <v>0</v>
      </c>
      <c r="F19" s="4"/>
      <c r="AA19" s="10">
        <v>0.1</v>
      </c>
      <c r="AB19" s="19">
        <v>8640</v>
      </c>
      <c r="AC19" s="19">
        <v>8800</v>
      </c>
      <c r="AD19" s="19">
        <v>8960</v>
      </c>
      <c r="AE19" s="19">
        <v>9139.2000000000007</v>
      </c>
      <c r="AF19" s="19">
        <v>9280</v>
      </c>
      <c r="AG19" s="19">
        <v>9440</v>
      </c>
      <c r="AH19" s="19">
        <v>9600</v>
      </c>
      <c r="AI19" s="19">
        <v>9760</v>
      </c>
      <c r="AJ19" s="19">
        <v>9920</v>
      </c>
      <c r="AK19" s="19">
        <v>10080</v>
      </c>
      <c r="AL19" s="19">
        <v>10240</v>
      </c>
    </row>
    <row r="20" spans="1:38" x14ac:dyDescent="0.3">
      <c r="A20" t="s">
        <v>15</v>
      </c>
      <c r="B20">
        <v>0</v>
      </c>
      <c r="C20" s="13">
        <v>0</v>
      </c>
      <c r="F20" s="4"/>
      <c r="AA20" s="10">
        <v>0.2</v>
      </c>
      <c r="AB20" s="19">
        <v>8320</v>
      </c>
      <c r="AC20" s="19">
        <v>8480</v>
      </c>
      <c r="AD20" s="19">
        <v>8640</v>
      </c>
      <c r="AE20" s="19">
        <v>8800</v>
      </c>
      <c r="AF20" s="19">
        <v>8960</v>
      </c>
      <c r="AG20" s="19">
        <v>9120</v>
      </c>
      <c r="AH20" s="19">
        <v>9280</v>
      </c>
      <c r="AI20" s="19">
        <v>9440</v>
      </c>
      <c r="AJ20" s="19">
        <v>9600</v>
      </c>
      <c r="AK20" s="19">
        <v>9760</v>
      </c>
      <c r="AL20" s="19">
        <v>9920</v>
      </c>
    </row>
    <row r="21" spans="1:38" x14ac:dyDescent="0.3">
      <c r="A21" t="s">
        <v>16</v>
      </c>
      <c r="B21">
        <v>0</v>
      </c>
      <c r="C21" s="13">
        <v>0</v>
      </c>
      <c r="F21" s="4"/>
      <c r="AA21" s="10">
        <v>0.3</v>
      </c>
      <c r="AB21" s="19">
        <v>8320</v>
      </c>
      <c r="AC21" s="19">
        <v>8480</v>
      </c>
      <c r="AD21" s="19">
        <v>8640</v>
      </c>
      <c r="AE21" s="19">
        <v>8800</v>
      </c>
      <c r="AF21" s="19">
        <v>8960</v>
      </c>
      <c r="AG21" s="19">
        <v>9120</v>
      </c>
      <c r="AH21" s="19">
        <v>9280</v>
      </c>
      <c r="AI21" s="19">
        <v>9440</v>
      </c>
      <c r="AJ21" s="19">
        <v>9600</v>
      </c>
      <c r="AK21" s="19">
        <v>9760</v>
      </c>
      <c r="AL21" s="19">
        <v>9920</v>
      </c>
    </row>
    <row r="22" spans="1:38" x14ac:dyDescent="0.3">
      <c r="A22" t="s">
        <v>18</v>
      </c>
      <c r="B22">
        <v>0</v>
      </c>
      <c r="C22" s="13">
        <v>1</v>
      </c>
      <c r="F22" s="4"/>
      <c r="AA22" s="10">
        <v>0.4</v>
      </c>
      <c r="AB22" s="19">
        <v>8320</v>
      </c>
      <c r="AC22" s="19">
        <v>8480</v>
      </c>
      <c r="AD22" s="19">
        <v>8640</v>
      </c>
      <c r="AE22" s="19">
        <v>8800</v>
      </c>
      <c r="AF22" s="19">
        <v>8960</v>
      </c>
      <c r="AG22" s="19">
        <v>9120</v>
      </c>
      <c r="AH22" s="19">
        <v>9280</v>
      </c>
      <c r="AI22" s="19">
        <v>9440</v>
      </c>
      <c r="AJ22" s="19">
        <v>9600</v>
      </c>
      <c r="AK22" s="19">
        <v>9760</v>
      </c>
      <c r="AL22" s="19">
        <v>9920</v>
      </c>
    </row>
    <row r="23" spans="1:38" x14ac:dyDescent="0.3">
      <c r="A23" t="s">
        <v>19</v>
      </c>
      <c r="B23">
        <v>1</v>
      </c>
      <c r="C23" s="13">
        <v>0</v>
      </c>
      <c r="F23" s="4"/>
      <c r="AA23" s="10">
        <v>0.5</v>
      </c>
      <c r="AB23" s="19">
        <v>8320</v>
      </c>
      <c r="AC23" s="19">
        <v>8480</v>
      </c>
      <c r="AD23" s="19">
        <v>8640</v>
      </c>
      <c r="AE23" s="19">
        <v>8800</v>
      </c>
      <c r="AF23" s="19">
        <v>8960</v>
      </c>
      <c r="AG23" s="19">
        <v>9120</v>
      </c>
      <c r="AH23" s="19">
        <v>9280</v>
      </c>
      <c r="AI23" s="19">
        <v>9440</v>
      </c>
      <c r="AJ23" s="19">
        <v>9600</v>
      </c>
      <c r="AK23" s="19">
        <v>9760</v>
      </c>
      <c r="AL23" s="19">
        <v>9920</v>
      </c>
    </row>
    <row r="24" spans="1:38" x14ac:dyDescent="0.3">
      <c r="A24" t="s">
        <v>20</v>
      </c>
      <c r="B24">
        <v>0</v>
      </c>
      <c r="C24" s="13">
        <v>0</v>
      </c>
      <c r="F24" s="4"/>
      <c r="AA24" s="10">
        <v>0.6</v>
      </c>
      <c r="AB24" s="19">
        <v>8320</v>
      </c>
      <c r="AC24" s="19">
        <v>8480</v>
      </c>
      <c r="AD24" s="19">
        <v>8640</v>
      </c>
      <c r="AE24" s="19">
        <v>8800</v>
      </c>
      <c r="AF24" s="19">
        <v>8960</v>
      </c>
      <c r="AG24" s="19">
        <v>9120</v>
      </c>
      <c r="AH24" s="19">
        <v>9280</v>
      </c>
      <c r="AI24" s="19">
        <v>9440</v>
      </c>
      <c r="AJ24" s="19">
        <v>9600</v>
      </c>
      <c r="AK24" s="19">
        <v>9760</v>
      </c>
      <c r="AL24" s="19">
        <v>9920</v>
      </c>
    </row>
    <row r="25" spans="1:38" x14ac:dyDescent="0.3">
      <c r="A25" t="s">
        <v>21</v>
      </c>
      <c r="B25">
        <v>0</v>
      </c>
      <c r="C25" s="13">
        <v>6</v>
      </c>
      <c r="F25" s="4"/>
      <c r="AA25" s="10">
        <v>0.7</v>
      </c>
      <c r="AB25" s="19">
        <v>8320</v>
      </c>
      <c r="AC25" s="19">
        <v>8480</v>
      </c>
      <c r="AD25" s="19">
        <v>8640</v>
      </c>
      <c r="AE25" s="19">
        <v>8800</v>
      </c>
      <c r="AF25" s="19">
        <v>8960</v>
      </c>
      <c r="AG25" s="19">
        <v>9120</v>
      </c>
      <c r="AH25" s="19">
        <v>9280</v>
      </c>
      <c r="AI25" s="19">
        <v>9440</v>
      </c>
      <c r="AJ25" s="19">
        <v>9600</v>
      </c>
      <c r="AK25" s="19">
        <v>9760</v>
      </c>
      <c r="AL25" s="19">
        <v>9920</v>
      </c>
    </row>
    <row r="26" spans="1:38" x14ac:dyDescent="0.3">
      <c r="A26" t="s">
        <v>22</v>
      </c>
      <c r="B26">
        <v>1</v>
      </c>
      <c r="C26" s="13">
        <v>0</v>
      </c>
      <c r="F26" s="4"/>
      <c r="AA26" s="10">
        <v>0.8</v>
      </c>
      <c r="AB26" s="19">
        <v>8320</v>
      </c>
      <c r="AC26" s="19">
        <v>8480</v>
      </c>
      <c r="AD26" s="19">
        <v>8640</v>
      </c>
      <c r="AE26" s="19">
        <v>8800</v>
      </c>
      <c r="AF26" s="19">
        <v>8960</v>
      </c>
      <c r="AG26" s="19">
        <v>9120</v>
      </c>
      <c r="AH26" s="19">
        <v>9280</v>
      </c>
      <c r="AI26" s="19">
        <v>9440</v>
      </c>
      <c r="AJ26" s="19">
        <v>9600</v>
      </c>
      <c r="AK26" s="19">
        <v>9760</v>
      </c>
      <c r="AL26" s="19">
        <v>9920</v>
      </c>
    </row>
    <row r="27" spans="1:38" x14ac:dyDescent="0.3">
      <c r="A27" t="s">
        <v>23</v>
      </c>
      <c r="B27">
        <v>0</v>
      </c>
      <c r="C27" s="13">
        <v>1</v>
      </c>
      <c r="F27" s="4"/>
      <c r="AA27" s="10">
        <v>0.9</v>
      </c>
      <c r="AB27" s="19">
        <v>8320</v>
      </c>
      <c r="AC27" s="19">
        <v>8480</v>
      </c>
      <c r="AD27" s="19">
        <v>8640</v>
      </c>
      <c r="AE27" s="19">
        <v>8800</v>
      </c>
      <c r="AF27" s="19">
        <v>8960</v>
      </c>
      <c r="AG27" s="19">
        <v>9120</v>
      </c>
      <c r="AH27" s="19">
        <v>9280</v>
      </c>
      <c r="AI27" s="19">
        <v>9440</v>
      </c>
      <c r="AJ27" s="19">
        <v>9600</v>
      </c>
      <c r="AK27" s="19">
        <v>9760</v>
      </c>
      <c r="AL27" s="19">
        <v>9920</v>
      </c>
    </row>
    <row r="28" spans="1:38" ht="15" thickBot="1" x14ac:dyDescent="0.35">
      <c r="A28" t="s">
        <v>24</v>
      </c>
      <c r="B28">
        <v>1</v>
      </c>
      <c r="C28" s="14">
        <v>1</v>
      </c>
      <c r="F28" s="4"/>
      <c r="AA28" s="10">
        <v>1</v>
      </c>
      <c r="AB28" s="19">
        <v>8000</v>
      </c>
      <c r="AC28" s="19">
        <v>8160</v>
      </c>
      <c r="AD28" s="19">
        <v>8320</v>
      </c>
      <c r="AE28" s="19">
        <v>8480</v>
      </c>
      <c r="AF28" s="19">
        <v>8640</v>
      </c>
      <c r="AG28" s="19">
        <v>8800</v>
      </c>
      <c r="AH28" s="19">
        <v>8960</v>
      </c>
      <c r="AI28" s="19">
        <v>9120</v>
      </c>
      <c r="AJ28" s="19">
        <v>9280</v>
      </c>
      <c r="AK28" s="19">
        <v>9440</v>
      </c>
      <c r="AL28" s="19">
        <v>9600</v>
      </c>
    </row>
    <row r="29" spans="1:38" ht="15" thickTop="1" x14ac:dyDescent="0.3">
      <c r="C29">
        <f>SUM(Assignments)</f>
        <v>26</v>
      </c>
      <c r="D29" s="21" t="s">
        <v>57</v>
      </c>
    </row>
    <row r="30" spans="1:38" x14ac:dyDescent="0.3">
      <c r="A30" s="1" t="s">
        <v>25</v>
      </c>
    </row>
    <row r="31" spans="1:38" x14ac:dyDescent="0.3">
      <c r="A31" s="1"/>
      <c r="B31" s="2" t="s">
        <v>28</v>
      </c>
      <c r="C31" s="2" t="s">
        <v>29</v>
      </c>
      <c r="D31" s="2" t="s">
        <v>17</v>
      </c>
      <c r="E31" s="2" t="s">
        <v>30</v>
      </c>
      <c r="F31" s="2" t="s">
        <v>31</v>
      </c>
      <c r="G31" s="2" t="s">
        <v>32</v>
      </c>
      <c r="H31" s="2" t="s">
        <v>33</v>
      </c>
    </row>
    <row r="32" spans="1:38" x14ac:dyDescent="0.3">
      <c r="A32" t="s">
        <v>26</v>
      </c>
      <c r="B32" s="15">
        <f>SUM(AvailMon)</f>
        <v>20</v>
      </c>
      <c r="C32" s="15">
        <f>SUM(AvailTue)</f>
        <v>15</v>
      </c>
      <c r="D32" s="15">
        <f>SUM(AvailWed)</f>
        <v>25</v>
      </c>
      <c r="E32" s="15">
        <f>SUM(AvailThu)</f>
        <v>20</v>
      </c>
      <c r="F32" s="15">
        <f>SUM(AvailFri)</f>
        <v>25</v>
      </c>
      <c r="G32" s="15">
        <f>SUM(AvailSat)</f>
        <v>15</v>
      </c>
      <c r="H32" s="15">
        <f>SUM(AvailSun)</f>
        <v>10</v>
      </c>
    </row>
    <row r="33" spans="1:8" ht="15" thickBot="1" x14ac:dyDescent="0.35">
      <c r="B33" s="2" t="s">
        <v>34</v>
      </c>
      <c r="C33" s="2" t="s">
        <v>34</v>
      </c>
      <c r="D33" s="2" t="s">
        <v>34</v>
      </c>
      <c r="E33" s="2" t="s">
        <v>34</v>
      </c>
      <c r="F33" s="2" t="s">
        <v>34</v>
      </c>
      <c r="G33" s="2" t="s">
        <v>34</v>
      </c>
      <c r="H33" s="2" t="s">
        <v>34</v>
      </c>
    </row>
    <row r="34" spans="1:8" ht="15" thickBot="1" x14ac:dyDescent="0.35">
      <c r="A34" t="s">
        <v>27</v>
      </c>
      <c r="B34" s="5">
        <v>20</v>
      </c>
      <c r="C34" s="6">
        <v>15</v>
      </c>
      <c r="D34" s="6">
        <v>25</v>
      </c>
      <c r="E34" s="6">
        <v>20</v>
      </c>
      <c r="F34" s="6">
        <v>25</v>
      </c>
      <c r="G34" s="6">
        <v>15</v>
      </c>
      <c r="H34" s="7">
        <v>10</v>
      </c>
    </row>
    <row r="35" spans="1:8" x14ac:dyDescent="0.3">
      <c r="B35" s="4"/>
      <c r="C35" s="4"/>
      <c r="D35" s="4"/>
      <c r="E35" s="4"/>
      <c r="F35" s="4"/>
      <c r="G35" s="4"/>
      <c r="H35" s="4"/>
    </row>
    <row r="36" spans="1:8" x14ac:dyDescent="0.3">
      <c r="A36" s="1" t="s">
        <v>36</v>
      </c>
      <c r="B36" s="4"/>
      <c r="C36" s="4"/>
      <c r="D36" s="4"/>
      <c r="E36" s="4"/>
      <c r="F36" s="4"/>
      <c r="G36" s="4"/>
      <c r="H36" s="4"/>
    </row>
    <row r="37" spans="1:8" x14ac:dyDescent="0.3">
      <c r="A37" t="s">
        <v>37</v>
      </c>
      <c r="B37" s="4">
        <f>TotalWorkers-SUMPRODUCT(Consecutive,Assignments)</f>
        <v>19</v>
      </c>
      <c r="C37" s="4"/>
      <c r="D37" s="4"/>
      <c r="E37" s="4"/>
      <c r="F37" s="4"/>
      <c r="G37" s="4"/>
      <c r="H37" s="4"/>
    </row>
    <row r="38" spans="1:8" x14ac:dyDescent="0.3">
      <c r="B38" s="9" t="s">
        <v>41</v>
      </c>
      <c r="C38" s="4"/>
      <c r="D38" s="4"/>
      <c r="E38" s="4"/>
      <c r="F38" s="4"/>
      <c r="G38" s="4"/>
      <c r="H38" s="4"/>
    </row>
    <row r="39" spans="1:8" x14ac:dyDescent="0.3">
      <c r="A39" t="s">
        <v>38</v>
      </c>
      <c r="B39" s="11">
        <f>MaxPct*TotalWorkers</f>
        <v>26</v>
      </c>
      <c r="C39" s="4"/>
      <c r="D39" s="4"/>
      <c r="E39" s="4"/>
      <c r="F39" s="4"/>
      <c r="G39" s="4"/>
      <c r="H39" s="4"/>
    </row>
    <row r="41" spans="1:8" x14ac:dyDescent="0.3">
      <c r="A41" s="1" t="s">
        <v>55</v>
      </c>
    </row>
    <row r="42" spans="1:8" x14ac:dyDescent="0.3">
      <c r="A42" t="s">
        <v>51</v>
      </c>
      <c r="B42" s="18">
        <f>8*WeekdayRate*SUM(B32:F32)</f>
        <v>15120</v>
      </c>
    </row>
    <row r="43" spans="1:8" ht="15" thickBot="1" x14ac:dyDescent="0.35">
      <c r="A43" t="s">
        <v>52</v>
      </c>
      <c r="B43" s="19">
        <f>8*WeekendRate*SUM(G32:H32)</f>
        <v>5200</v>
      </c>
    </row>
    <row r="44" spans="1:8" ht="15.6" thickTop="1" thickBot="1" x14ac:dyDescent="0.35">
      <c r="A44" t="s">
        <v>49</v>
      </c>
      <c r="B44" s="20">
        <f>SUM(B42:B43)</f>
        <v>20320</v>
      </c>
    </row>
    <row r="45" spans="1:8" ht="15" thickTop="1" x14ac:dyDescent="0.3"/>
  </sheetData>
  <phoneticPr fontId="0" type="noConversion"/>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sReport"/>
  <dimension ref="B2:I27"/>
  <sheetViews>
    <sheetView showGridLines="0" tabSelected="1" workbookViewId="0"/>
  </sheetViews>
  <sheetFormatPr defaultColWidth="9.109375" defaultRowHeight="14.4" x14ac:dyDescent="0.3"/>
  <cols>
    <col min="1" max="1" width="5" style="24" customWidth="1"/>
    <col min="2" max="2" width="3.6640625" style="24" customWidth="1"/>
    <col min="3" max="3" width="12.33203125" style="24" customWidth="1"/>
    <col min="4" max="4" width="16.44140625" style="24" customWidth="1"/>
    <col min="5" max="5" width="21" style="24" customWidth="1"/>
    <col min="6" max="6" width="3.6640625" style="24" customWidth="1"/>
    <col min="7" max="7" width="12.109375" style="24" customWidth="1"/>
    <col min="8" max="8" width="13.44140625" style="24" customWidth="1"/>
    <col min="9" max="16384" width="9.109375" style="24"/>
  </cols>
  <sheetData>
    <row r="2" spans="2:9" ht="15.6" x14ac:dyDescent="0.3">
      <c r="B2" s="25" t="s">
        <v>42</v>
      </c>
      <c r="C2" s="26"/>
      <c r="D2" s="26"/>
      <c r="E2" s="26"/>
      <c r="F2" s="26"/>
      <c r="G2" s="26"/>
      <c r="H2" s="26"/>
    </row>
    <row r="4" spans="2:9" x14ac:dyDescent="0.3">
      <c r="B4" s="27" t="s">
        <v>50</v>
      </c>
      <c r="F4" s="27" t="s">
        <v>43</v>
      </c>
    </row>
    <row r="5" spans="2:9" x14ac:dyDescent="0.3">
      <c r="C5" s="24" t="s">
        <v>51</v>
      </c>
      <c r="D5" s="28">
        <f>Model!B42</f>
        <v>15120</v>
      </c>
      <c r="G5" s="29" t="s">
        <v>44</v>
      </c>
      <c r="H5" s="30" t="s">
        <v>26</v>
      </c>
      <c r="I5" s="30" t="s">
        <v>27</v>
      </c>
    </row>
    <row r="6" spans="2:9" x14ac:dyDescent="0.3">
      <c r="C6" s="24" t="s">
        <v>52</v>
      </c>
      <c r="D6" s="28">
        <f>Model!B43</f>
        <v>5200</v>
      </c>
      <c r="G6" s="24" t="s">
        <v>28</v>
      </c>
      <c r="H6" s="31">
        <f t="array" ref="H6:H12">TRANSPOSE(Model!B32:H32)</f>
        <v>20</v>
      </c>
      <c r="I6" s="31">
        <f t="array" ref="I6:I12">TRANSPOSE(Model!B34:H34)</f>
        <v>20</v>
      </c>
    </row>
    <row r="7" spans="2:9" x14ac:dyDescent="0.3">
      <c r="C7" s="24" t="s">
        <v>49</v>
      </c>
      <c r="D7" s="28">
        <f>Model!B44</f>
        <v>20320</v>
      </c>
      <c r="G7" s="24" t="s">
        <v>29</v>
      </c>
      <c r="H7" s="31">
        <v>15</v>
      </c>
      <c r="I7" s="31">
        <v>15</v>
      </c>
    </row>
    <row r="8" spans="2:9" x14ac:dyDescent="0.3">
      <c r="G8" s="24" t="s">
        <v>17</v>
      </c>
      <c r="H8" s="31">
        <v>25</v>
      </c>
      <c r="I8" s="31">
        <v>25</v>
      </c>
    </row>
    <row r="9" spans="2:9" x14ac:dyDescent="0.3">
      <c r="B9" s="27" t="s">
        <v>46</v>
      </c>
      <c r="G9" s="24" t="s">
        <v>30</v>
      </c>
      <c r="H9" s="31">
        <v>20</v>
      </c>
      <c r="I9" s="31">
        <v>20</v>
      </c>
    </row>
    <row r="10" spans="2:9" x14ac:dyDescent="0.3">
      <c r="C10" s="32" t="s">
        <v>3</v>
      </c>
      <c r="D10" s="30" t="s">
        <v>45</v>
      </c>
      <c r="G10" s="24" t="s">
        <v>31</v>
      </c>
      <c r="H10" s="31">
        <v>25</v>
      </c>
      <c r="I10" s="31">
        <v>25</v>
      </c>
    </row>
    <row r="11" spans="2:9" x14ac:dyDescent="0.3">
      <c r="C11" s="24" t="s">
        <v>8</v>
      </c>
      <c r="D11" s="31">
        <v>6</v>
      </c>
      <c r="G11" s="24" t="s">
        <v>32</v>
      </c>
      <c r="H11" s="31">
        <v>15</v>
      </c>
      <c r="I11" s="31">
        <v>15</v>
      </c>
    </row>
    <row r="12" spans="2:9" x14ac:dyDescent="0.3">
      <c r="C12" s="24" t="s">
        <v>12</v>
      </c>
      <c r="D12" s="31">
        <v>10</v>
      </c>
      <c r="G12" s="24" t="s">
        <v>33</v>
      </c>
      <c r="H12" s="31">
        <v>10</v>
      </c>
      <c r="I12" s="31">
        <v>10</v>
      </c>
    </row>
    <row r="13" spans="2:9" x14ac:dyDescent="0.3">
      <c r="C13" s="24" t="s">
        <v>13</v>
      </c>
      <c r="D13" s="31">
        <v>1</v>
      </c>
    </row>
    <row r="14" spans="2:9" x14ac:dyDescent="0.3">
      <c r="C14" s="24" t="s">
        <v>18</v>
      </c>
      <c r="D14" s="31">
        <v>1</v>
      </c>
      <c r="F14" s="27" t="s">
        <v>47</v>
      </c>
    </row>
    <row r="15" spans="2:9" x14ac:dyDescent="0.3">
      <c r="C15" s="24" t="s">
        <v>21</v>
      </c>
      <c r="D15" s="31">
        <v>6</v>
      </c>
      <c r="G15" s="24" t="s">
        <v>53</v>
      </c>
      <c r="I15" s="31">
        <f>TotalWorkers-Nonconsec</f>
        <v>7</v>
      </c>
    </row>
    <row r="16" spans="2:9" x14ac:dyDescent="0.3">
      <c r="C16" s="24" t="s">
        <v>23</v>
      </c>
      <c r="D16" s="31">
        <v>1</v>
      </c>
      <c r="G16" s="24" t="s">
        <v>54</v>
      </c>
      <c r="I16" s="31">
        <f>Nonconsec</f>
        <v>19</v>
      </c>
    </row>
    <row r="17" spans="3:9" x14ac:dyDescent="0.3">
      <c r="C17" s="24" t="s">
        <v>24</v>
      </c>
      <c r="D17" s="31">
        <v>1</v>
      </c>
      <c r="G17" s="24" t="s">
        <v>49</v>
      </c>
      <c r="I17" s="31">
        <f>TotalWorkers</f>
        <v>26</v>
      </c>
    </row>
    <row r="18" spans="3:9" x14ac:dyDescent="0.3">
      <c r="D18" s="31"/>
    </row>
    <row r="19" spans="3:9" x14ac:dyDescent="0.3">
      <c r="D19" s="31"/>
    </row>
    <row r="20" spans="3:9" x14ac:dyDescent="0.3">
      <c r="D20" s="31"/>
    </row>
    <row r="21" spans="3:9" x14ac:dyDescent="0.3">
      <c r="D21" s="31"/>
    </row>
    <row r="22" spans="3:9" x14ac:dyDescent="0.3">
      <c r="D22" s="31"/>
    </row>
    <row r="23" spans="3:9" x14ac:dyDescent="0.3">
      <c r="D23" s="31"/>
    </row>
    <row r="24" spans="3:9" x14ac:dyDescent="0.3">
      <c r="D24" s="31"/>
    </row>
    <row r="25" spans="3:9" x14ac:dyDescent="0.3">
      <c r="D25" s="31"/>
    </row>
    <row r="26" spans="3:9" x14ac:dyDescent="0.3">
      <c r="D26" s="31"/>
    </row>
    <row r="27" spans="3:9" x14ac:dyDescent="0.3">
      <c r="D27" s="31"/>
    </row>
  </sheetData>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GoToExplanation">
                <anchor moveWithCells="1" sizeWithCells="1">
                  <from>
                    <xdr:col>4</xdr:col>
                    <xdr:colOff>746760</xdr:colOff>
                    <xdr:row>1</xdr:row>
                    <xdr:rowOff>7620</xdr:rowOff>
                  </from>
                  <to>
                    <xdr:col>7</xdr:col>
                    <xdr:colOff>45720</xdr:colOff>
                    <xdr:row>2</xdr:row>
                    <xdr:rowOff>7620</xdr:rowOff>
                  </to>
                </anchor>
              </controlPr>
            </control>
          </mc:Choice>
        </mc:AlternateContent>
        <mc:AlternateContent xmlns:mc="http://schemas.openxmlformats.org/markup-compatibility/2006">
          <mc:Choice Requires="x14">
            <control shapeId="3078" r:id="rId5" name="Button 6">
              <controlPr defaultSize="0" print="0" autoFill="0" autoPict="0" macro="[0]!Sensitivity">
                <anchor moveWithCells="1" sizeWithCells="1">
                  <from>
                    <xdr:col>9</xdr:col>
                    <xdr:colOff>441960</xdr:colOff>
                    <xdr:row>0</xdr:row>
                    <xdr:rowOff>137160</xdr:rowOff>
                  </from>
                  <to>
                    <xdr:col>13</xdr:col>
                    <xdr:colOff>525780</xdr:colOff>
                    <xdr:row>1</xdr:row>
                    <xdr:rowOff>175260</xdr:rowOff>
                  </to>
                </anchor>
              </controlPr>
            </control>
          </mc:Choice>
        </mc:AlternateContent>
        <mc:AlternateContent xmlns:mc="http://schemas.openxmlformats.org/markup-compatibility/2006">
          <mc:Choice Requires="x14">
            <control shapeId="3079" r:id="rId6" name="Button 7">
              <controlPr defaultSize="0" print="0" autoFill="0" autoPict="0" macro="[0]!Sensitivity2">
                <anchor moveWithCells="1" sizeWithCells="1">
                  <from>
                    <xdr:col>9</xdr:col>
                    <xdr:colOff>441960</xdr:colOff>
                    <xdr:row>2</xdr:row>
                    <xdr:rowOff>7620</xdr:rowOff>
                  </from>
                  <to>
                    <xdr:col>13</xdr:col>
                    <xdr:colOff>525780</xdr:colOff>
                    <xdr:row>3</xdr:row>
                    <xdr:rowOff>45720</xdr:rowOff>
                  </to>
                </anchor>
              </controlPr>
            </control>
          </mc:Choice>
        </mc:AlternateContent>
        <mc:AlternateContent xmlns:mc="http://schemas.openxmlformats.org/markup-compatibility/2006">
          <mc:Choice Requires="x14">
            <control shapeId="3080" r:id="rId7" name="Button 8">
              <controlPr defaultSize="0" print="0" autoFill="0" autoPict="0" macro="[0]!Sensitivity3">
                <anchor moveWithCells="1" sizeWithCells="1">
                  <from>
                    <xdr:col>9</xdr:col>
                    <xdr:colOff>441960</xdr:colOff>
                    <xdr:row>3</xdr:row>
                    <xdr:rowOff>99060</xdr:rowOff>
                  </from>
                  <to>
                    <xdr:col>13</xdr:col>
                    <xdr:colOff>525780</xdr:colOff>
                    <xdr:row>4</xdr:row>
                    <xdr:rowOff>137160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vt:i4>
      </vt:variant>
      <vt:variant>
        <vt:lpstr>Charts</vt:lpstr>
      </vt:variant>
      <vt:variant>
        <vt:i4>3</vt:i4>
      </vt:variant>
      <vt:variant>
        <vt:lpstr>Named Ranges</vt:lpstr>
      </vt:variant>
      <vt:variant>
        <vt:i4>18</vt:i4>
      </vt:variant>
    </vt:vector>
  </HeadingPairs>
  <TitlesOfParts>
    <vt:vector size="24" baseType="lpstr">
      <vt:lpstr>Explanation</vt:lpstr>
      <vt:lpstr>Model</vt:lpstr>
      <vt:lpstr>Report</vt:lpstr>
      <vt:lpstr>Chart3</vt:lpstr>
      <vt:lpstr>Chart2</vt:lpstr>
      <vt:lpstr>Chart</vt:lpstr>
      <vt:lpstr>Assignments</vt:lpstr>
      <vt:lpstr>Available</vt:lpstr>
      <vt:lpstr>AvailFri</vt:lpstr>
      <vt:lpstr>AvailMon</vt:lpstr>
      <vt:lpstr>AvailSat</vt:lpstr>
      <vt:lpstr>AvailSun</vt:lpstr>
      <vt:lpstr>AvailThu</vt:lpstr>
      <vt:lpstr>AvailTue</vt:lpstr>
      <vt:lpstr>AvailWed</vt:lpstr>
      <vt:lpstr>Consecutive</vt:lpstr>
      <vt:lpstr>MaxNonconsec</vt:lpstr>
      <vt:lpstr>MaxPct</vt:lpstr>
      <vt:lpstr>Nonconsec</vt:lpstr>
      <vt:lpstr>Required</vt:lpstr>
      <vt:lpstr>TotalCost</vt:lpstr>
      <vt:lpstr>TotalWorkers</vt:lpstr>
      <vt:lpstr>WeekdayRate</vt:lpstr>
      <vt:lpstr>WeekendRate</vt:lpstr>
    </vt:vector>
  </TitlesOfParts>
  <Company>Kelley School of Business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Connie Lance</cp:lastModifiedBy>
  <dcterms:created xsi:type="dcterms:W3CDTF">1999-03-31T00:31:16Z</dcterms:created>
  <dcterms:modified xsi:type="dcterms:W3CDTF">2021-03-20T21:10:56Z</dcterms:modified>
</cp:coreProperties>
</file>